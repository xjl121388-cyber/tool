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jl\AppData\Local\Kingsoft\WPS Office\12.1.0.28043\office6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<sst xmlns="http://schemas.openxmlformats.org/spreadsheetml/2006/main" count="7" uniqueCount="7">
  <si>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PH=7+（B-mv）/K
B=（PH-7）*K+MV
PH=7-（MV-B）/K
B=MV-（7-ph）*K</t>
  </si>
  <si>
    <t>#1</t>
  </si>
  <si>
    <t>标液值</t>
  </si>
  <si>
    <t>B2</t>
  </si>
  <si>
    <t>K2</t>
  </si>
  <si>
    <t>B1</t>
  </si>
  <si>
    <t>K1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</si>
</sst>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75" zoomScaleNormal="175" workbookViewId="0">
      <selection activeCell="I2" sqref="I2"/>
    </sheetView>
  </sheetViews>
  <sheetFormatPr defaultColWidth="9" defaultRowHeight="13.5" outlineLevelCol="5"/>
  <sheetData>
    <row r="1" ht="85" customHeight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4" t="s">
        <v>2</v>
      </c>
      <c r="C2" s="5"/>
      <c r="D2" s="5"/>
      <c r="E2" s="5" t="s">
        <v>3</v>
      </c>
      <c r="F2" s="5" t="s">
        <v>4</v>
      </c>
    </row>
    <row r="3" spans="1:6">
      <c r="A3" s="3"/>
      <c r="B3" s="4">
        <v>4</v>
      </c>
      <c r="C3" s="6">
        <v>176.35</v>
      </c>
      <c r="D3" s="5"/>
      <c r="E3" s="5"/>
      <c r="F3" s="5"/>
    </row>
    <row r="4" spans="1:6">
      <c r="A4" s="3"/>
      <c r="B4" s="4">
        <v>6.86</v>
      </c>
      <c r="C4" s="6">
        <v>8.04</v>
      </c>
      <c r="D4" s="5"/>
      <c r="E4" s="5"/>
      <c r="F4" s="5"/>
    </row>
    <row r="5" spans="1:6">
      <c r="A5" s="3"/>
      <c r="B5" s="4">
        <v>9.18</v>
      </c>
      <c r="C5" s="6">
        <v>-123.91</v>
      </c>
      <c r="D5" s="5">
        <f>(C4-C5)/(B5-B4)</f>
        <v>56.875</v>
      </c>
      <c r="E5" s="5">
        <f>(B5-7)*F5*59.16+C5</f>
        <v>0.0775000000000006</v>
      </c>
      <c r="F5" s="5">
        <f>D5/59.16</f>
        <v>0.961375929682218</v>
      </c>
    </row>
    <row r="6" spans="1:6">
      <c r="A6" s="3"/>
      <c r="B6" s="4"/>
      <c r="C6" s="5"/>
      <c r="D6" s="5"/>
      <c r="E6" s="5" t="s">
        <v>5</v>
      </c>
      <c r="F6" s="5" t="s">
        <v>6</v>
      </c>
    </row>
    <row r="7" spans="1:6">
      <c r="A7" s="3"/>
      <c r="B7" s="4">
        <v>4</v>
      </c>
      <c r="C7" s="7">
        <v>176.35</v>
      </c>
      <c r="D7" s="5"/>
      <c r="E7" s="5"/>
      <c r="F7" s="5"/>
    </row>
    <row r="8" spans="1:6">
      <c r="A8" s="3"/>
      <c r="B8" s="4">
        <v>6.86</v>
      </c>
      <c r="C8" s="7">
        <v>8.04</v>
      </c>
      <c r="D8" s="5"/>
      <c r="E8" s="5"/>
      <c r="F8" s="5"/>
    </row>
    <row r="9" spans="1:6">
      <c r="A9" s="3"/>
      <c r="B9" s="4">
        <v>9.18</v>
      </c>
      <c r="C9" s="7">
        <v>-123.91</v>
      </c>
      <c r="D9" s="5">
        <f>(C7-C8)/(B8-B7)</f>
        <v>58.8496503496503</v>
      </c>
      <c r="E9" s="5">
        <f>(B8-7)*F9*59.16+C8</f>
        <v>-0.198951048951031</v>
      </c>
      <c r="F9" s="5">
        <f>D9/59.16</f>
        <v>0.994754062705381</v>
      </c>
    </row>
  </sheetData>
  <mergeCells count="2">
    <mergeCell ref="A1:F1"/>
    <mergeCell ref="A2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徐俊磊</cp:lastModifiedBy>
  <dcterms:created xsi:type="dcterms:W3CDTF">2026-08-06T01:44:34Z</dcterms:created>
  <dcterms:modified xsi:type="dcterms:W3CDTF">2026-08-06T01:45:44Z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DDF1C4B1D80F40F5A6FD3B141F5FC0F0_11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